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211707\"/>
    </mc:Choice>
  </mc:AlternateContent>
  <xr:revisionPtr revIDLastSave="0" documentId="13_ncr:1_{17AF5D45-4FBF-45D4-8FFE-59539FEBBDDF}" xr6:coauthVersionLast="45" xr6:coauthVersionMax="45" xr10:uidLastSave="{00000000-0000-0000-0000-000000000000}"/>
  <bookViews>
    <workbookView xWindow="-120" yWindow="-120" windowWidth="24240" windowHeight="13140" xr2:uid="{84CD077A-45AA-431D-888C-19FD7F6989E0}"/>
  </bookViews>
  <sheets>
    <sheet name="Sheet1" sheetId="1" r:id="rId1"/>
  </sheets>
  <definedNames>
    <definedName name="solver_adj" localSheetId="0" hidden="1">Sheet1!$N$8:$O$8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Sheet1!$K$16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6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B15" i="1"/>
  <c r="B14" i="1"/>
  <c r="B13" i="1"/>
  <c r="B12" i="1"/>
  <c r="B11" i="1"/>
  <c r="B10" i="1"/>
  <c r="B9" i="1"/>
  <c r="B3" i="1"/>
  <c r="B4" i="1"/>
  <c r="B5" i="1"/>
  <c r="B6" i="1"/>
  <c r="B7" i="1"/>
  <c r="B8" i="1"/>
  <c r="B2" i="1"/>
  <c r="J13" i="1" l="1"/>
  <c r="K13" i="1" s="1"/>
  <c r="J5" i="1"/>
  <c r="K5" i="1" s="1"/>
  <c r="J12" i="1"/>
  <c r="K12" i="1" s="1"/>
  <c r="J4" i="1"/>
  <c r="K4" i="1" s="1"/>
  <c r="J2" i="1"/>
  <c r="K2" i="1" s="1"/>
  <c r="J10" i="1"/>
  <c r="K10" i="1" s="1"/>
  <c r="J9" i="1"/>
  <c r="K9" i="1" s="1"/>
  <c r="J8" i="1"/>
  <c r="K8" i="1" s="1"/>
  <c r="J14" i="1"/>
  <c r="K14" i="1" s="1"/>
  <c r="J6" i="1"/>
  <c r="K6" i="1" s="1"/>
  <c r="J11" i="1"/>
  <c r="K11" i="1" s="1"/>
  <c r="J3" i="1"/>
  <c r="K3" i="1" s="1"/>
  <c r="J15" i="1"/>
  <c r="K15" i="1" s="1"/>
  <c r="J7" i="1"/>
  <c r="K7" i="1" s="1"/>
</calcChain>
</file>

<file path=xl/sharedStrings.xml><?xml version="1.0" encoding="utf-8"?>
<sst xmlns="http://schemas.openxmlformats.org/spreadsheetml/2006/main" count="13" uniqueCount="13">
  <si>
    <t>x1</t>
  </si>
  <si>
    <t>x2</t>
  </si>
  <si>
    <t>y1</t>
  </si>
  <si>
    <t>y2</t>
  </si>
  <si>
    <t>P1</t>
  </si>
  <si>
    <t>P2</t>
  </si>
  <si>
    <t>gamma1</t>
  </si>
  <si>
    <t>gamma2</t>
  </si>
  <si>
    <t>A12</t>
  </si>
  <si>
    <t>A21</t>
  </si>
  <si>
    <t>TP(given)</t>
  </si>
  <si>
    <t>TP(cal)</t>
  </si>
  <si>
    <t>P(error)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</si>
</sst>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vs Total</a:t>
            </a:r>
            <a:r>
              <a:rPr lang="en-US" baseline="0"/>
              <a:t> Pressure</a:t>
            </a:r>
            <a:endParaRPr lang="en-US"/>
          </a:p>
        </c:rich>
      </c:tx>
      <c:layout>
        <c:manualLayout>
          <c:xMode val="edge"/>
          <c:yMode val="edge"/>
          <c:x val="0.4150485564304462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4.5499999999999999E-2</c:v>
                </c:pt>
                <c:pt idx="2">
                  <c:v>9.4E-2</c:v>
                </c:pt>
                <c:pt idx="3">
                  <c:v>0.18290000000000001</c:v>
                </c:pt>
                <c:pt idx="4">
                  <c:v>0.29089999999999999</c:v>
                </c:pt>
                <c:pt idx="5">
                  <c:v>0.39800000000000002</c:v>
                </c:pt>
                <c:pt idx="6">
                  <c:v>0.50690000000000002</c:v>
                </c:pt>
                <c:pt idx="7">
                  <c:v>0.54579999999999995</c:v>
                </c:pt>
                <c:pt idx="8">
                  <c:v>0.59460000000000002</c:v>
                </c:pt>
                <c:pt idx="9">
                  <c:v>0.72060000000000002</c:v>
                </c:pt>
                <c:pt idx="10">
                  <c:v>0.8145</c:v>
                </c:pt>
                <c:pt idx="11">
                  <c:v>0.8972</c:v>
                </c:pt>
                <c:pt idx="12">
                  <c:v>0.95730000000000004</c:v>
                </c:pt>
                <c:pt idx="13">
                  <c:v>1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29.818999999999999</c:v>
                </c:pt>
                <c:pt idx="1">
                  <c:v>31.957000000000001</c:v>
                </c:pt>
                <c:pt idx="2">
                  <c:v>33.552999999999997</c:v>
                </c:pt>
                <c:pt idx="3">
                  <c:v>35.284999999999997</c:v>
                </c:pt>
                <c:pt idx="4">
                  <c:v>36.457000000000001</c:v>
                </c:pt>
                <c:pt idx="5">
                  <c:v>36.996000000000002</c:v>
                </c:pt>
                <c:pt idx="6">
                  <c:v>37.067999999999998</c:v>
                </c:pt>
                <c:pt idx="7">
                  <c:v>36.978000000000002</c:v>
                </c:pt>
                <c:pt idx="8">
                  <c:v>36.777999999999999</c:v>
                </c:pt>
                <c:pt idx="9">
                  <c:v>35.792000000000002</c:v>
                </c:pt>
                <c:pt idx="10">
                  <c:v>34.372</c:v>
                </c:pt>
                <c:pt idx="11">
                  <c:v>32.331000000000003</c:v>
                </c:pt>
                <c:pt idx="12">
                  <c:v>30.038</c:v>
                </c:pt>
                <c:pt idx="13">
                  <c:v>27.777999999999999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4-4FC6-B959-393EEF276BBD}"/>
            </c:ext>
          </c:extLst>
        </c:ser>
        <c:ser>
          <c:idx val="1"/>
          <c:order val="1"/>
          <c:tx>
            <c:v>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Sheet1!$D$2:$D$15</c:f>
              <c:numCache>
                <c:formatCode>General</c:formatCode>
                <c:ptCount val="14"/>
                <c:pt idx="0">
                  <c:v>0</c:v>
                </c:pt>
                <c:pt idx="1">
                  <c:v>0.1056</c:v>
                </c:pt>
                <c:pt idx="2">
                  <c:v>0.18179999999999999</c:v>
                </c:pt>
                <c:pt idx="3">
                  <c:v>0.27829999999999999</c:v>
                </c:pt>
                <c:pt idx="4">
                  <c:v>0.36070000000000002</c:v>
                </c:pt>
                <c:pt idx="5">
                  <c:v>0.4274</c:v>
                </c:pt>
                <c:pt idx="6">
                  <c:v>0.48849999999999999</c:v>
                </c:pt>
                <c:pt idx="7">
                  <c:v>0.50980000000000003</c:v>
                </c:pt>
                <c:pt idx="8">
                  <c:v>0.53749999999999998</c:v>
                </c:pt>
                <c:pt idx="9">
                  <c:v>0.61570000000000003</c:v>
                </c:pt>
                <c:pt idx="10">
                  <c:v>0.69130000000000003</c:v>
                </c:pt>
                <c:pt idx="11">
                  <c:v>0.78690000000000004</c:v>
                </c:pt>
                <c:pt idx="12">
                  <c:v>0.89159999999999995</c:v>
                </c:pt>
                <c:pt idx="13">
                  <c:v>1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29.818999999999999</c:v>
                </c:pt>
                <c:pt idx="1">
                  <c:v>31.957000000000001</c:v>
                </c:pt>
                <c:pt idx="2">
                  <c:v>33.552999999999997</c:v>
                </c:pt>
                <c:pt idx="3">
                  <c:v>35.284999999999997</c:v>
                </c:pt>
                <c:pt idx="4">
                  <c:v>36.457000000000001</c:v>
                </c:pt>
                <c:pt idx="5">
                  <c:v>36.996000000000002</c:v>
                </c:pt>
                <c:pt idx="6">
                  <c:v>37.067999999999998</c:v>
                </c:pt>
                <c:pt idx="7">
                  <c:v>36.978000000000002</c:v>
                </c:pt>
                <c:pt idx="8">
                  <c:v>36.777999999999999</c:v>
                </c:pt>
                <c:pt idx="9">
                  <c:v>35.792000000000002</c:v>
                </c:pt>
                <c:pt idx="10">
                  <c:v>34.372</c:v>
                </c:pt>
                <c:pt idx="11">
                  <c:v>32.331000000000003</c:v>
                </c:pt>
                <c:pt idx="12">
                  <c:v>30.038</c:v>
                </c:pt>
                <c:pt idx="13">
                  <c:v>27.777999999999999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54-4FC6-B959-393EEF276BBD}"/>
            </c:ext>
          </c:extLst>
        </c:ser>
        <c:ser>
          <c:idx val="2"/>
          <c:order val="2"/>
          <c:tx>
            <c:v>theo 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4.5499999999999999E-2</c:v>
                </c:pt>
                <c:pt idx="2">
                  <c:v>9.4E-2</c:v>
                </c:pt>
                <c:pt idx="3">
                  <c:v>0.18290000000000001</c:v>
                </c:pt>
                <c:pt idx="4">
                  <c:v>0.29089999999999999</c:v>
                </c:pt>
                <c:pt idx="5">
                  <c:v>0.39800000000000002</c:v>
                </c:pt>
                <c:pt idx="6">
                  <c:v>0.50690000000000002</c:v>
                </c:pt>
                <c:pt idx="7">
                  <c:v>0.54579999999999995</c:v>
                </c:pt>
                <c:pt idx="8">
                  <c:v>0.59460000000000002</c:v>
                </c:pt>
                <c:pt idx="9">
                  <c:v>0.72060000000000002</c:v>
                </c:pt>
                <c:pt idx="10">
                  <c:v>0.8145</c:v>
                </c:pt>
                <c:pt idx="11">
                  <c:v>0.8972</c:v>
                </c:pt>
                <c:pt idx="12">
                  <c:v>0.95730000000000004</c:v>
                </c:pt>
                <c:pt idx="13">
                  <c:v>1</c:v>
                </c:pt>
              </c:numCache>
            </c:numRef>
          </c:xVal>
          <c:yVal>
            <c:numRef>
              <c:f>Sheet1!$J$2:$J$15</c:f>
              <c:numCache>
                <c:formatCode>General</c:formatCode>
                <c:ptCount val="14"/>
                <c:pt idx="0">
                  <c:v>28.691713478138318</c:v>
                </c:pt>
                <c:pt idx="1">
                  <c:v>31.210275324753407</c:v>
                </c:pt>
                <c:pt idx="2">
                  <c:v>33.145607119133935</c:v>
                </c:pt>
                <c:pt idx="3">
                  <c:v>35.357134679176774</c:v>
                </c:pt>
                <c:pt idx="4">
                  <c:v>36.679853958717445</c:v>
                </c:pt>
                <c:pt idx="5">
                  <c:v>37.20540385028125</c:v>
                </c:pt>
                <c:pt idx="6">
                  <c:v>37.243891345431145</c:v>
                </c:pt>
                <c:pt idx="7">
                  <c:v>37.148776699356993</c:v>
                </c:pt>
                <c:pt idx="8">
                  <c:v>36.939586042427116</c:v>
                </c:pt>
                <c:pt idx="9">
                  <c:v>35.8112654495417</c:v>
                </c:pt>
                <c:pt idx="10">
                  <c:v>34.192348225660673</c:v>
                </c:pt>
                <c:pt idx="11">
                  <c:v>31.965241968307396</c:v>
                </c:pt>
                <c:pt idx="12">
                  <c:v>29.726573756136176</c:v>
                </c:pt>
                <c:pt idx="13">
                  <c:v>27.748380890321673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54-4FC6-B959-393EEF276BBD}"/>
            </c:ext>
          </c:extLst>
        </c:ser>
        <c:ser>
          <c:idx val="3"/>
          <c:order val="3"/>
          <c:tx>
            <c:v>theoy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Sheet1!$D$2:$D$15</c:f>
              <c:numCache>
                <c:formatCode>General</c:formatCode>
                <c:ptCount val="14"/>
                <c:pt idx="0">
                  <c:v>0</c:v>
                </c:pt>
                <c:pt idx="1">
                  <c:v>0.1056</c:v>
                </c:pt>
                <c:pt idx="2">
                  <c:v>0.18179999999999999</c:v>
                </c:pt>
                <c:pt idx="3">
                  <c:v>0.27829999999999999</c:v>
                </c:pt>
                <c:pt idx="4">
                  <c:v>0.36070000000000002</c:v>
                </c:pt>
                <c:pt idx="5">
                  <c:v>0.4274</c:v>
                </c:pt>
                <c:pt idx="6">
                  <c:v>0.48849999999999999</c:v>
                </c:pt>
                <c:pt idx="7">
                  <c:v>0.50980000000000003</c:v>
                </c:pt>
                <c:pt idx="8">
                  <c:v>0.53749999999999998</c:v>
                </c:pt>
                <c:pt idx="9">
                  <c:v>0.61570000000000003</c:v>
                </c:pt>
                <c:pt idx="10">
                  <c:v>0.69130000000000003</c:v>
                </c:pt>
                <c:pt idx="11">
                  <c:v>0.78690000000000004</c:v>
                </c:pt>
                <c:pt idx="12">
                  <c:v>0.89159999999999995</c:v>
                </c:pt>
                <c:pt idx="13">
                  <c:v>1</c:v>
                </c:pt>
              </c:numCache>
            </c:numRef>
          </c:xVal>
          <c:yVal>
            <c:numRef>
              <c:f>Sheet1!$J$2:$J$15</c:f>
              <c:numCache>
                <c:formatCode>General</c:formatCode>
                <c:ptCount val="14"/>
                <c:pt idx="0">
                  <c:v>28.691713478138318</c:v>
                </c:pt>
                <c:pt idx="1">
                  <c:v>31.210275324753407</c:v>
                </c:pt>
                <c:pt idx="2">
                  <c:v>33.145607119133935</c:v>
                </c:pt>
                <c:pt idx="3">
                  <c:v>35.357134679176774</c:v>
                </c:pt>
                <c:pt idx="4">
                  <c:v>36.679853958717445</c:v>
                </c:pt>
                <c:pt idx="5">
                  <c:v>37.20540385028125</c:v>
                </c:pt>
                <c:pt idx="6">
                  <c:v>37.243891345431145</c:v>
                </c:pt>
                <c:pt idx="7">
                  <c:v>37.148776699356993</c:v>
                </c:pt>
                <c:pt idx="8">
                  <c:v>36.939586042427116</c:v>
                </c:pt>
                <c:pt idx="9">
                  <c:v>35.8112654495417</c:v>
                </c:pt>
                <c:pt idx="10">
                  <c:v>34.192348225660673</c:v>
                </c:pt>
                <c:pt idx="11">
                  <c:v>31.965241968307396</c:v>
                </c:pt>
                <c:pt idx="12">
                  <c:v>29.726573756136176</c:v>
                </c:pt>
                <c:pt idx="13">
                  <c:v>27.748380890321673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54-4FC6-B959-393EEF276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00392"/>
        <c:axId val="502097440"/>
      </c:scatterChart>
      <c:valAx>
        <c:axId val="50210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97440"/>
        <c:crosses val="autoZero"/>
        <c:crossBetween val="midCat"/>
      </c:valAx>
      <c:valAx>
        <c:axId val="5020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00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0</xdr:row>
      <xdr:rowOff>0</xdr:rowOff>
    </xdr:from>
    <xdr:to>
      <xdr:col>23</xdr:col>
      <xdr:colOff>400050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27F07-69B4-41AD-9702-F5888A351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F785-EB34-4D69-B062-EF9A7BA40552}">
  <dimension ref="A1:O16"/>
  <sheetViews>
    <sheetView tabSelected="1" workbookViewId="0">
      <selection activeCell="M16" sqref="M16"/>
    </sheetView>
  </sheetViews>
  <sheetFormatPr defaultRowHeight="15" x14ac:dyDescent="0.25"/>
  <cols>
    <col min="3" max="3" width="10.7109375" customWidth="1"/>
    <col min="14" max="14" width="14" customWidth="1"/>
    <col min="15" max="15" width="16.5703125" customWidth="1"/>
  </cols>
  <sheetData>
    <row r="1" spans="1:15" x14ac:dyDescent="0.2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</row>
    <row r="2" spans="1:15" x14ac:dyDescent="0.25">
      <c r="A2">
        <v>0</v>
      </c>
      <c r="B2">
        <f>1-A2</f>
        <v>1</v>
      </c>
      <c r="C2">
        <v>29.818999999999999</v>
      </c>
      <c r="D2">
        <v>0</v>
      </c>
      <c r="E2">
        <f>1-D2</f>
        <v>1</v>
      </c>
      <c r="F2">
        <f>10^(4.27873-(1355.374/(318.15-37.853)))</f>
        <v>0.27748380890321672</v>
      </c>
      <c r="G2">
        <f>10^(0.1459-(39.165/(318.15-261.236)))</f>
        <v>0.2869171347813832</v>
      </c>
      <c r="H2">
        <f>EXP((B2^2)*($N$8+(2*A2*($O$8-$N$8))))</f>
        <v>3.3610312228245678</v>
      </c>
      <c r="I2">
        <f>EXP((A2^2)*($O$8+(2*B2*($N$8-$O$8))))</f>
        <v>1</v>
      </c>
      <c r="J2">
        <f>((A2*H2*F2)+(B2*I2*G2))*100</f>
        <v>28.691713478138318</v>
      </c>
      <c r="K2">
        <f>(C2-J2)^2</f>
        <v>1.2707749023710058</v>
      </c>
    </row>
    <row r="3" spans="1:15" x14ac:dyDescent="0.25">
      <c r="A3">
        <v>4.5499999999999999E-2</v>
      </c>
      <c r="B3">
        <f t="shared" ref="B3:B15" si="0">1-A3</f>
        <v>0.95450000000000002</v>
      </c>
      <c r="C3">
        <v>31.957000000000001</v>
      </c>
      <c r="D3">
        <v>0.1056</v>
      </c>
      <c r="E3">
        <f t="shared" ref="E3:E15" si="1">1-D3</f>
        <v>0.89439999999999997</v>
      </c>
      <c r="F3">
        <f t="shared" ref="F3:F15" si="2">10^(4.27873-(1355.374/(318.15-37.853)))</f>
        <v>0.27748380890321672</v>
      </c>
      <c r="G3">
        <f t="shared" ref="G3:G15" si="3">10^(0.1459-(39.165/(318.15-261.236)))</f>
        <v>0.2869171347813832</v>
      </c>
      <c r="H3">
        <f t="shared" ref="H3:H15" si="4">EXP((B3^2)*($N$8+(2*A3*($O$8-$N$8))))</f>
        <v>2.9657647806913499</v>
      </c>
      <c r="I3">
        <f t="shared" ref="I3:I15" si="5">EXP((A3^2)*($O$8+(2*B3*($N$8-$O$8))))</f>
        <v>1.0029067348614951</v>
      </c>
      <c r="J3">
        <f t="shared" ref="J3:J15" si="6">((A3*H3*F3)+(B3*I3*G3))*100</f>
        <v>31.210275324753407</v>
      </c>
      <c r="K3">
        <f t="shared" ref="K3:K15" si="7">(C3-J3)^2</f>
        <v>0.55759774062213019</v>
      </c>
    </row>
    <row r="4" spans="1:15" x14ac:dyDescent="0.25">
      <c r="A4">
        <v>9.4E-2</v>
      </c>
      <c r="B4">
        <f t="shared" si="0"/>
        <v>0.90600000000000003</v>
      </c>
      <c r="C4">
        <v>33.552999999999997</v>
      </c>
      <c r="D4">
        <v>0.18179999999999999</v>
      </c>
      <c r="E4">
        <f t="shared" si="1"/>
        <v>0.81820000000000004</v>
      </c>
      <c r="F4">
        <f t="shared" si="2"/>
        <v>0.27748380890321672</v>
      </c>
      <c r="G4">
        <f t="shared" si="3"/>
        <v>0.2869171347813832</v>
      </c>
      <c r="H4">
        <f t="shared" si="4"/>
        <v>2.6191266785940832</v>
      </c>
      <c r="I4">
        <f t="shared" si="5"/>
        <v>1.0122840995073954</v>
      </c>
      <c r="J4">
        <f t="shared" si="6"/>
        <v>33.145607119133935</v>
      </c>
      <c r="K4">
        <f t="shared" si="7"/>
        <v>0.16596895938034981</v>
      </c>
    </row>
    <row r="5" spans="1:15" x14ac:dyDescent="0.25">
      <c r="A5">
        <v>0.18290000000000001</v>
      </c>
      <c r="B5">
        <f t="shared" si="0"/>
        <v>0.81709999999999994</v>
      </c>
      <c r="C5">
        <v>35.284999999999997</v>
      </c>
      <c r="D5">
        <v>0.27829999999999999</v>
      </c>
      <c r="E5">
        <f t="shared" si="1"/>
        <v>0.72170000000000001</v>
      </c>
      <c r="F5">
        <f t="shared" si="2"/>
        <v>0.27748380890321672</v>
      </c>
      <c r="G5">
        <f t="shared" si="3"/>
        <v>0.2869171347813832</v>
      </c>
      <c r="H5">
        <f t="shared" si="4"/>
        <v>2.1348033785763629</v>
      </c>
      <c r="I5">
        <f t="shared" si="5"/>
        <v>1.0460086440386054</v>
      </c>
      <c r="J5">
        <f t="shared" si="6"/>
        <v>35.357134679176774</v>
      </c>
      <c r="K5">
        <f t="shared" si="7"/>
        <v>5.203411939936572E-3</v>
      </c>
    </row>
    <row r="6" spans="1:15" x14ac:dyDescent="0.25">
      <c r="A6">
        <v>0.29089999999999999</v>
      </c>
      <c r="B6">
        <f t="shared" si="0"/>
        <v>0.70910000000000006</v>
      </c>
      <c r="C6">
        <v>36.457000000000001</v>
      </c>
      <c r="D6">
        <v>0.36070000000000002</v>
      </c>
      <c r="E6">
        <f t="shared" si="1"/>
        <v>0.63929999999999998</v>
      </c>
      <c r="F6">
        <f t="shared" si="2"/>
        <v>0.27748380890321672</v>
      </c>
      <c r="G6">
        <f t="shared" si="3"/>
        <v>0.2869171347813832</v>
      </c>
      <c r="H6">
        <f t="shared" si="4"/>
        <v>1.7306097781418577</v>
      </c>
      <c r="I6">
        <f t="shared" si="5"/>
        <v>1.1162465813897333</v>
      </c>
      <c r="J6">
        <f t="shared" si="6"/>
        <v>36.679853958717445</v>
      </c>
      <c r="K6">
        <f t="shared" si="7"/>
        <v>4.9663886916036168E-2</v>
      </c>
    </row>
    <row r="7" spans="1:15" x14ac:dyDescent="0.25">
      <c r="A7">
        <v>0.39800000000000002</v>
      </c>
      <c r="B7">
        <f t="shared" si="0"/>
        <v>0.60199999999999998</v>
      </c>
      <c r="C7">
        <v>36.996000000000002</v>
      </c>
      <c r="D7">
        <v>0.4274</v>
      </c>
      <c r="E7">
        <f t="shared" si="1"/>
        <v>0.5726</v>
      </c>
      <c r="F7">
        <f t="shared" si="2"/>
        <v>0.27748380890321672</v>
      </c>
      <c r="G7">
        <f t="shared" si="3"/>
        <v>0.2869171347813832</v>
      </c>
      <c r="H7">
        <f t="shared" si="4"/>
        <v>1.460970324120435</v>
      </c>
      <c r="I7">
        <f t="shared" si="5"/>
        <v>1.2199025333656959</v>
      </c>
      <c r="J7">
        <f t="shared" si="6"/>
        <v>37.20540385028125</v>
      </c>
      <c r="K7">
        <f t="shared" si="7"/>
        <v>4.3849972512611364E-2</v>
      </c>
      <c r="N7" t="s">
        <v>8</v>
      </c>
      <c r="O7" t="s">
        <v>9</v>
      </c>
    </row>
    <row r="8" spans="1:15" x14ac:dyDescent="0.25">
      <c r="A8">
        <v>0.50690000000000002</v>
      </c>
      <c r="B8">
        <f t="shared" si="0"/>
        <v>0.49309999999999998</v>
      </c>
      <c r="C8">
        <v>37.067999999999998</v>
      </c>
      <c r="D8">
        <v>0.48849999999999999</v>
      </c>
      <c r="E8">
        <f t="shared" si="1"/>
        <v>0.51150000000000007</v>
      </c>
      <c r="F8">
        <f t="shared" si="2"/>
        <v>0.27748380890321672</v>
      </c>
      <c r="G8">
        <f t="shared" si="3"/>
        <v>0.2869171347813832</v>
      </c>
      <c r="H8">
        <f t="shared" si="4"/>
        <v>1.2754440847519148</v>
      </c>
      <c r="I8">
        <f t="shared" si="5"/>
        <v>1.3644397931801968</v>
      </c>
      <c r="J8">
        <f t="shared" si="6"/>
        <v>37.243891345431145</v>
      </c>
      <c r="K8">
        <f t="shared" si="7"/>
        <v>3.0937765397579014E-2</v>
      </c>
      <c r="N8">
        <v>1.2122478384423268</v>
      </c>
      <c r="O8">
        <v>1.0034847195525949</v>
      </c>
    </row>
    <row r="9" spans="1:15" x14ac:dyDescent="0.25">
      <c r="A9">
        <v>0.54579999999999995</v>
      </c>
      <c r="B9">
        <f t="shared" si="0"/>
        <v>0.45420000000000005</v>
      </c>
      <c r="C9">
        <v>36.978000000000002</v>
      </c>
      <c r="D9">
        <v>0.50980000000000003</v>
      </c>
      <c r="E9">
        <f t="shared" si="1"/>
        <v>0.49019999999999997</v>
      </c>
      <c r="F9">
        <f t="shared" si="2"/>
        <v>0.27748380890321672</v>
      </c>
      <c r="G9">
        <f t="shared" si="3"/>
        <v>0.2869171347813832</v>
      </c>
      <c r="H9">
        <f t="shared" si="4"/>
        <v>1.2251601390288096</v>
      </c>
      <c r="I9">
        <f t="shared" si="5"/>
        <v>1.4267928488399719</v>
      </c>
      <c r="J9">
        <f t="shared" si="6"/>
        <v>37.148776699356993</v>
      </c>
      <c r="K9">
        <f t="shared" si="7"/>
        <v>2.9164681043268401E-2</v>
      </c>
    </row>
    <row r="10" spans="1:15" x14ac:dyDescent="0.25">
      <c r="A10">
        <v>0.59460000000000002</v>
      </c>
      <c r="B10">
        <f t="shared" si="0"/>
        <v>0.40539999999999998</v>
      </c>
      <c r="C10">
        <v>36.777999999999999</v>
      </c>
      <c r="D10">
        <v>0.53749999999999998</v>
      </c>
      <c r="E10">
        <f t="shared" si="1"/>
        <v>0.46250000000000002</v>
      </c>
      <c r="F10">
        <f t="shared" si="2"/>
        <v>0.27748380890321672</v>
      </c>
      <c r="G10">
        <f t="shared" si="3"/>
        <v>0.2869171347813832</v>
      </c>
      <c r="H10">
        <f t="shared" si="4"/>
        <v>1.1716703854933026</v>
      </c>
      <c r="I10">
        <f t="shared" si="5"/>
        <v>1.5138025442596703</v>
      </c>
      <c r="J10">
        <f t="shared" si="6"/>
        <v>36.939586042427116</v>
      </c>
      <c r="K10">
        <f t="shared" si="7"/>
        <v>2.6110049107258251E-2</v>
      </c>
    </row>
    <row r="11" spans="1:15" x14ac:dyDescent="0.25">
      <c r="A11">
        <v>0.72060000000000002</v>
      </c>
      <c r="B11">
        <f t="shared" si="0"/>
        <v>0.27939999999999998</v>
      </c>
      <c r="C11">
        <v>35.792000000000002</v>
      </c>
      <c r="D11">
        <v>0.61570000000000003</v>
      </c>
      <c r="E11">
        <f t="shared" si="1"/>
        <v>0.38429999999999997</v>
      </c>
      <c r="F11">
        <f t="shared" si="2"/>
        <v>0.27748380890321672</v>
      </c>
      <c r="G11">
        <f t="shared" si="3"/>
        <v>0.2869171347813832</v>
      </c>
      <c r="H11">
        <f t="shared" si="4"/>
        <v>1.0737381669712636</v>
      </c>
      <c r="I11">
        <f t="shared" si="5"/>
        <v>1.7889870847996789</v>
      </c>
      <c r="J11">
        <f t="shared" si="6"/>
        <v>35.8112654495417</v>
      </c>
      <c r="K11">
        <f t="shared" si="7"/>
        <v>3.7115754604374413E-4</v>
      </c>
    </row>
    <row r="12" spans="1:15" x14ac:dyDescent="0.25">
      <c r="A12">
        <v>0.8145</v>
      </c>
      <c r="B12">
        <f t="shared" si="0"/>
        <v>0.1855</v>
      </c>
      <c r="C12">
        <v>34.372</v>
      </c>
      <c r="D12">
        <v>0.69130000000000003</v>
      </c>
      <c r="E12">
        <f t="shared" si="1"/>
        <v>0.30869999999999997</v>
      </c>
      <c r="F12">
        <f t="shared" si="2"/>
        <v>0.27748380890321672</v>
      </c>
      <c r="G12">
        <f t="shared" si="3"/>
        <v>0.2869171347813832</v>
      </c>
      <c r="H12">
        <f t="shared" si="4"/>
        <v>1.0304665710328791</v>
      </c>
      <c r="I12">
        <f t="shared" si="5"/>
        <v>2.0484920019100548</v>
      </c>
      <c r="J12">
        <f t="shared" si="6"/>
        <v>34.192348225660673</v>
      </c>
      <c r="K12">
        <f t="shared" si="7"/>
        <v>3.2274760023268352E-2</v>
      </c>
    </row>
    <row r="13" spans="1:15" x14ac:dyDescent="0.25">
      <c r="A13">
        <v>0.8972</v>
      </c>
      <c r="B13">
        <f t="shared" si="0"/>
        <v>0.1028</v>
      </c>
      <c r="C13">
        <v>32.331000000000003</v>
      </c>
      <c r="D13">
        <v>0.78690000000000004</v>
      </c>
      <c r="E13">
        <f t="shared" si="1"/>
        <v>0.21309999999999996</v>
      </c>
      <c r="F13">
        <f t="shared" si="2"/>
        <v>0.27748380890321672</v>
      </c>
      <c r="G13">
        <f t="shared" si="3"/>
        <v>0.2869171347813832</v>
      </c>
      <c r="H13">
        <f t="shared" si="4"/>
        <v>1.0088913758760751</v>
      </c>
      <c r="I13">
        <f t="shared" si="5"/>
        <v>2.3217553433203624</v>
      </c>
      <c r="J13">
        <f t="shared" si="6"/>
        <v>31.965241968307396</v>
      </c>
      <c r="K13">
        <f t="shared" si="7"/>
        <v>0.13377893774765029</v>
      </c>
    </row>
    <row r="14" spans="1:15" x14ac:dyDescent="0.25">
      <c r="A14">
        <v>0.95730000000000004</v>
      </c>
      <c r="B14">
        <f t="shared" si="0"/>
        <v>4.269999999999996E-2</v>
      </c>
      <c r="C14">
        <v>30.038</v>
      </c>
      <c r="D14">
        <v>0.89159999999999995</v>
      </c>
      <c r="E14">
        <f t="shared" si="1"/>
        <v>0.10840000000000005</v>
      </c>
      <c r="F14">
        <f t="shared" si="2"/>
        <v>0.27748380890321672</v>
      </c>
      <c r="G14">
        <f t="shared" si="3"/>
        <v>0.2869171347813832</v>
      </c>
      <c r="H14">
        <f t="shared" si="4"/>
        <v>1.0014826122210301</v>
      </c>
      <c r="I14">
        <f t="shared" si="5"/>
        <v>2.5496474685135895</v>
      </c>
      <c r="J14">
        <f t="shared" si="6"/>
        <v>29.726573756136176</v>
      </c>
      <c r="K14">
        <f t="shared" si="7"/>
        <v>9.6986305367130113E-2</v>
      </c>
    </row>
    <row r="15" spans="1:15" x14ac:dyDescent="0.25">
      <c r="A15">
        <v>1</v>
      </c>
      <c r="B15">
        <f t="shared" si="0"/>
        <v>0</v>
      </c>
      <c r="C15">
        <v>27.777999999999999</v>
      </c>
      <c r="D15">
        <v>1</v>
      </c>
      <c r="E15">
        <f t="shared" si="1"/>
        <v>0</v>
      </c>
      <c r="F15">
        <f t="shared" si="2"/>
        <v>0.27748380890321672</v>
      </c>
      <c r="G15">
        <f t="shared" si="3"/>
        <v>0.2869171347813832</v>
      </c>
      <c r="H15">
        <f t="shared" si="4"/>
        <v>1</v>
      </c>
      <c r="I15">
        <f t="shared" si="5"/>
        <v>2.7277708018995188</v>
      </c>
      <c r="J15">
        <f t="shared" si="6"/>
        <v>27.748380890321673</v>
      </c>
      <c r="K15">
        <f t="shared" si="7"/>
        <v>8.7729165813666776E-4</v>
      </c>
    </row>
    <row r="16" spans="1:15" x14ac:dyDescent="0.25">
      <c r="K16">
        <f>SUM(K2:K15)</f>
        <v>2.4435598216324044</v>
      </c>
    </row>
  </sheetData>
  <conditionalFormatting sqref="A2:K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2019-10-29T07:48:59Z</dcterms:created>
  <dcterms:modified xsi:type="dcterms:W3CDTF">2019-10-29T10:40:49Z</dcterms:modified>
</cp:coreProperties>
</file>