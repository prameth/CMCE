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\Desktop\"/>
    </mc:Choice>
  </mc:AlternateContent>
  <xr:revisionPtr revIDLastSave="0" documentId="13_ncr:1_{06B2F7A8-FE3C-4585-B25B-F12E7B14D6D1}" xr6:coauthVersionLast="45" xr6:coauthVersionMax="45" xr10:uidLastSave="{00000000-0000-0000-0000-000000000000}"/>
  <bookViews>
    <workbookView xWindow="13380" yWindow="1215" windowWidth="16200" windowHeight="9360" xr2:uid="{78278CD5-41BB-463A-85D3-1C3DCD6ECF7A}"/>
  </bookViews>
  <sheets>
    <sheet name="Sheet1" sheetId="1" r:id="rId1"/>
  </sheets>
  <definedNames>
    <definedName name="solver_adj" localSheetId="0" hidden="1">Sheet1!$C$20:$E$20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Sheet1!$K$15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2" i="1" l="1"/>
  <c r="F3" i="1"/>
  <c r="F4" i="1"/>
  <c r="F5" i="1"/>
  <c r="F6" i="1"/>
  <c r="F7" i="1"/>
  <c r="F8" i="1"/>
  <c r="F9" i="1"/>
  <c r="F10" i="1"/>
  <c r="F11" i="1"/>
  <c r="F12" i="1"/>
  <c r="F13" i="1"/>
  <c r="F14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2" i="1"/>
  <c r="I3" i="1"/>
  <c r="I4" i="1"/>
  <c r="I5" i="1"/>
  <c r="I6" i="1"/>
  <c r="I7" i="1"/>
  <c r="I8" i="1"/>
  <c r="I9" i="1"/>
  <c r="I10" i="1"/>
  <c r="I11" i="1"/>
  <c r="I12" i="1"/>
  <c r="I13" i="1"/>
  <c r="I14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J7" i="1" l="1"/>
  <c r="K7" i="1" s="1"/>
  <c r="J11" i="1"/>
  <c r="K11" i="1" s="1"/>
  <c r="J3" i="1"/>
  <c r="K3" i="1" s="1"/>
  <c r="J9" i="1"/>
  <c r="K9" i="1" s="1"/>
  <c r="J5" i="1"/>
  <c r="K5" i="1" s="1"/>
  <c r="J10" i="1"/>
  <c r="K10" i="1" s="1"/>
  <c r="J8" i="1"/>
  <c r="K8" i="1" s="1"/>
  <c r="J6" i="1"/>
  <c r="K6" i="1" s="1"/>
  <c r="J12" i="1"/>
  <c r="K12" i="1" s="1"/>
  <c r="J13" i="1"/>
  <c r="K13" i="1" s="1"/>
  <c r="J4" i="1"/>
  <c r="K4" i="1" s="1"/>
  <c r="J14" i="1"/>
  <c r="K14" i="1" s="1"/>
  <c r="J2" i="1"/>
  <c r="K2" i="1" s="1"/>
  <c r="K15" i="1" l="1"/>
  <c r="D3" i="1"/>
  <c r="D4" i="1"/>
  <c r="D5" i="1"/>
  <c r="D6" i="1"/>
  <c r="D7" i="1"/>
  <c r="D8" i="1"/>
  <c r="D9" i="1"/>
  <c r="D10" i="1"/>
  <c r="D11" i="1"/>
  <c r="D12" i="1"/>
  <c r="D13" i="1"/>
  <c r="D14" i="1"/>
  <c r="D2" i="1"/>
  <c r="B3" i="1"/>
  <c r="B4" i="1"/>
  <c r="B5" i="1"/>
  <c r="B6" i="1"/>
  <c r="B7" i="1"/>
  <c r="B8" i="1"/>
  <c r="B9" i="1"/>
  <c r="B10" i="1"/>
  <c r="B11" i="1"/>
  <c r="B12" i="1"/>
  <c r="B13" i="1"/>
  <c r="B14" i="1"/>
  <c r="B2" i="1"/>
</calcChain>
</file>

<file path=xl/sharedStrings.xml><?xml version="1.0" encoding="utf-8"?>
<sst xmlns="http://schemas.openxmlformats.org/spreadsheetml/2006/main" count="14" uniqueCount="14">
  <si>
    <t xml:space="preserve">x1 </t>
  </si>
  <si>
    <t>x2</t>
  </si>
  <si>
    <t xml:space="preserve">y1 </t>
  </si>
  <si>
    <t>y2</t>
  </si>
  <si>
    <t>P1</t>
  </si>
  <si>
    <t>P2</t>
  </si>
  <si>
    <t>P(given)</t>
  </si>
  <si>
    <t>A12</t>
  </si>
  <si>
    <t>A21</t>
  </si>
  <si>
    <t>C</t>
  </si>
  <si>
    <t>gamma1</t>
  </si>
  <si>
    <t>gamma2</t>
  </si>
  <si>
    <t>P(cal)</t>
  </si>
  <si>
    <t>P(error)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</si>
</sst>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P-x-y Plots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x1-P(given)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Sheet1!$A$2:$A$14</c:f>
              <c:numCache>
                <c:formatCode>General</c:formatCode>
                <c:ptCount val="13"/>
                <c:pt idx="0">
                  <c:v>0</c:v>
                </c:pt>
                <c:pt idx="1">
                  <c:v>9.3200000000000005E-2</c:v>
                </c:pt>
                <c:pt idx="2">
                  <c:v>0.12479999999999999</c:v>
                </c:pt>
                <c:pt idx="3">
                  <c:v>0.1757</c:v>
                </c:pt>
                <c:pt idx="4">
                  <c:v>0.2</c:v>
                </c:pt>
                <c:pt idx="5">
                  <c:v>0.2626</c:v>
                </c:pt>
                <c:pt idx="6">
                  <c:v>0.36149999999999999</c:v>
                </c:pt>
                <c:pt idx="7">
                  <c:v>0.47499999999999998</c:v>
                </c:pt>
                <c:pt idx="8">
                  <c:v>0.55549999999999999</c:v>
                </c:pt>
                <c:pt idx="9">
                  <c:v>0.67179999999999995</c:v>
                </c:pt>
                <c:pt idx="10">
                  <c:v>0.878</c:v>
                </c:pt>
                <c:pt idx="11">
                  <c:v>0.93979999999999997</c:v>
                </c:pt>
                <c:pt idx="12">
                  <c:v>1</c:v>
                </c:pt>
              </c:numCache>
            </c:numRef>
          </c:xVal>
          <c:yVal>
            <c:numRef>
              <c:f>Sheet1!$G$2:$G$14</c:f>
              <c:numCache>
                <c:formatCode>General</c:formatCode>
                <c:ptCount val="13"/>
                <c:pt idx="0">
                  <c:v>15.79</c:v>
                </c:pt>
                <c:pt idx="1">
                  <c:v>17.510000000000002</c:v>
                </c:pt>
                <c:pt idx="2">
                  <c:v>18.149999999999999</c:v>
                </c:pt>
                <c:pt idx="3">
                  <c:v>19.3</c:v>
                </c:pt>
                <c:pt idx="4">
                  <c:v>19.89</c:v>
                </c:pt>
                <c:pt idx="5">
                  <c:v>21.37</c:v>
                </c:pt>
                <c:pt idx="6">
                  <c:v>24.95</c:v>
                </c:pt>
                <c:pt idx="7">
                  <c:v>29.82</c:v>
                </c:pt>
                <c:pt idx="8">
                  <c:v>34.799999999999997</c:v>
                </c:pt>
                <c:pt idx="9">
                  <c:v>42.1</c:v>
                </c:pt>
                <c:pt idx="10">
                  <c:v>60.38</c:v>
                </c:pt>
                <c:pt idx="11">
                  <c:v>65.39</c:v>
                </c:pt>
                <c:pt idx="12">
                  <c:v>69.36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21C-405D-8BFB-00F96E2B60A8}"/>
            </c:ext>
          </c:extLst>
        </c:ser>
        <c:ser>
          <c:idx val="1"/>
          <c:order val="1"/>
          <c:tx>
            <c:v>y1-P(given)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Sheet1!$C$2:$C$14</c:f>
              <c:numCache>
                <c:formatCode>General</c:formatCode>
                <c:ptCount val="13"/>
                <c:pt idx="0">
                  <c:v>0</c:v>
                </c:pt>
                <c:pt idx="1">
                  <c:v>0.1794</c:v>
                </c:pt>
                <c:pt idx="2">
                  <c:v>0.23830000000000001</c:v>
                </c:pt>
                <c:pt idx="3">
                  <c:v>0.33019999999999999</c:v>
                </c:pt>
                <c:pt idx="4">
                  <c:v>0.36909999999999998</c:v>
                </c:pt>
                <c:pt idx="5">
                  <c:v>0.46279999999999999</c:v>
                </c:pt>
                <c:pt idx="6">
                  <c:v>0.61839999999999995</c:v>
                </c:pt>
                <c:pt idx="7">
                  <c:v>0.75519999999999998</c:v>
                </c:pt>
                <c:pt idx="8">
                  <c:v>0.83779999999999999</c:v>
                </c:pt>
                <c:pt idx="9">
                  <c:v>0.91369999999999996</c:v>
                </c:pt>
                <c:pt idx="10">
                  <c:v>0.98599999999999999</c:v>
                </c:pt>
                <c:pt idx="11">
                  <c:v>0.99450000000000005</c:v>
                </c:pt>
                <c:pt idx="12">
                  <c:v>1</c:v>
                </c:pt>
              </c:numCache>
            </c:numRef>
          </c:xVal>
          <c:yVal>
            <c:numRef>
              <c:f>Sheet1!$G$2:$G$14</c:f>
              <c:numCache>
                <c:formatCode>General</c:formatCode>
                <c:ptCount val="13"/>
                <c:pt idx="0">
                  <c:v>15.79</c:v>
                </c:pt>
                <c:pt idx="1">
                  <c:v>17.510000000000002</c:v>
                </c:pt>
                <c:pt idx="2">
                  <c:v>18.149999999999999</c:v>
                </c:pt>
                <c:pt idx="3">
                  <c:v>19.3</c:v>
                </c:pt>
                <c:pt idx="4">
                  <c:v>19.89</c:v>
                </c:pt>
                <c:pt idx="5">
                  <c:v>21.37</c:v>
                </c:pt>
                <c:pt idx="6">
                  <c:v>24.95</c:v>
                </c:pt>
                <c:pt idx="7">
                  <c:v>29.82</c:v>
                </c:pt>
                <c:pt idx="8">
                  <c:v>34.799999999999997</c:v>
                </c:pt>
                <c:pt idx="9">
                  <c:v>42.1</c:v>
                </c:pt>
                <c:pt idx="10">
                  <c:v>60.38</c:v>
                </c:pt>
                <c:pt idx="11">
                  <c:v>65.39</c:v>
                </c:pt>
                <c:pt idx="12">
                  <c:v>69.36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21C-405D-8BFB-00F96E2B60A8}"/>
            </c:ext>
          </c:extLst>
        </c:ser>
        <c:ser>
          <c:idx val="2"/>
          <c:order val="2"/>
          <c:tx>
            <c:v>x1-P(cal)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Sheet1!$A$2:$A$14</c:f>
              <c:numCache>
                <c:formatCode>General</c:formatCode>
                <c:ptCount val="13"/>
                <c:pt idx="0">
                  <c:v>0</c:v>
                </c:pt>
                <c:pt idx="1">
                  <c:v>9.3200000000000005E-2</c:v>
                </c:pt>
                <c:pt idx="2">
                  <c:v>0.12479999999999999</c:v>
                </c:pt>
                <c:pt idx="3">
                  <c:v>0.1757</c:v>
                </c:pt>
                <c:pt idx="4">
                  <c:v>0.2</c:v>
                </c:pt>
                <c:pt idx="5">
                  <c:v>0.2626</c:v>
                </c:pt>
                <c:pt idx="6">
                  <c:v>0.36149999999999999</c:v>
                </c:pt>
                <c:pt idx="7">
                  <c:v>0.47499999999999998</c:v>
                </c:pt>
                <c:pt idx="8">
                  <c:v>0.55549999999999999</c:v>
                </c:pt>
                <c:pt idx="9">
                  <c:v>0.67179999999999995</c:v>
                </c:pt>
                <c:pt idx="10">
                  <c:v>0.878</c:v>
                </c:pt>
                <c:pt idx="11">
                  <c:v>0.93979999999999997</c:v>
                </c:pt>
                <c:pt idx="12">
                  <c:v>1</c:v>
                </c:pt>
              </c:numCache>
            </c:numRef>
          </c:xVal>
          <c:yVal>
            <c:numRef>
              <c:f>Sheet1!$J$2:$J$15</c:f>
              <c:numCache>
                <c:formatCode>General</c:formatCode>
                <c:ptCount val="14"/>
                <c:pt idx="0">
                  <c:v>4.9795718058573808</c:v>
                </c:pt>
                <c:pt idx="1">
                  <c:v>21.824069657620939</c:v>
                </c:pt>
                <c:pt idx="2">
                  <c:v>19.882120450621368</c:v>
                </c:pt>
                <c:pt idx="3">
                  <c:v>18.318094524698953</c:v>
                </c:pt>
                <c:pt idx="4">
                  <c:v>18.164048444132359</c:v>
                </c:pt>
                <c:pt idx="5">
                  <c:v>19.144591183975496</c:v>
                </c:pt>
                <c:pt idx="6">
                  <c:v>24.31782023718565</c:v>
                </c:pt>
                <c:pt idx="7">
                  <c:v>35.215185943277731</c:v>
                </c:pt>
                <c:pt idx="8">
                  <c:v>43.361888208167294</c:v>
                </c:pt>
                <c:pt idx="9">
                  <c:v>47.45978029657298</c:v>
                </c:pt>
                <c:pt idx="10">
                  <c:v>41.413510260210529</c:v>
                </c:pt>
                <c:pt idx="11">
                  <c:v>64.905209922081241</c:v>
                </c:pt>
                <c:pt idx="12">
                  <c:v>26.220620447158325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21C-405D-8BFB-00F96E2B60A8}"/>
            </c:ext>
          </c:extLst>
        </c:ser>
        <c:ser>
          <c:idx val="3"/>
          <c:order val="3"/>
          <c:tx>
            <c:v>y1-P(cal)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Sheet1!$C$2:$C$14</c:f>
              <c:numCache>
                <c:formatCode>General</c:formatCode>
                <c:ptCount val="13"/>
                <c:pt idx="0">
                  <c:v>0</c:v>
                </c:pt>
                <c:pt idx="1">
                  <c:v>0.1794</c:v>
                </c:pt>
                <c:pt idx="2">
                  <c:v>0.23830000000000001</c:v>
                </c:pt>
                <c:pt idx="3">
                  <c:v>0.33019999999999999</c:v>
                </c:pt>
                <c:pt idx="4">
                  <c:v>0.36909999999999998</c:v>
                </c:pt>
                <c:pt idx="5">
                  <c:v>0.46279999999999999</c:v>
                </c:pt>
                <c:pt idx="6">
                  <c:v>0.61839999999999995</c:v>
                </c:pt>
                <c:pt idx="7">
                  <c:v>0.75519999999999998</c:v>
                </c:pt>
                <c:pt idx="8">
                  <c:v>0.83779999999999999</c:v>
                </c:pt>
                <c:pt idx="9">
                  <c:v>0.91369999999999996</c:v>
                </c:pt>
                <c:pt idx="10">
                  <c:v>0.98599999999999999</c:v>
                </c:pt>
                <c:pt idx="11">
                  <c:v>0.99450000000000005</c:v>
                </c:pt>
                <c:pt idx="12">
                  <c:v>1</c:v>
                </c:pt>
              </c:numCache>
            </c:numRef>
          </c:xVal>
          <c:yVal>
            <c:numRef>
              <c:f>Sheet1!$J$2:$J$15</c:f>
              <c:numCache>
                <c:formatCode>General</c:formatCode>
                <c:ptCount val="14"/>
                <c:pt idx="0">
                  <c:v>4.9795718058573808</c:v>
                </c:pt>
                <c:pt idx="1">
                  <c:v>21.824069657620939</c:v>
                </c:pt>
                <c:pt idx="2">
                  <c:v>19.882120450621368</c:v>
                </c:pt>
                <c:pt idx="3">
                  <c:v>18.318094524698953</c:v>
                </c:pt>
                <c:pt idx="4">
                  <c:v>18.164048444132359</c:v>
                </c:pt>
                <c:pt idx="5">
                  <c:v>19.144591183975496</c:v>
                </c:pt>
                <c:pt idx="6">
                  <c:v>24.31782023718565</c:v>
                </c:pt>
                <c:pt idx="7">
                  <c:v>35.215185943277731</c:v>
                </c:pt>
                <c:pt idx="8">
                  <c:v>43.361888208167294</c:v>
                </c:pt>
                <c:pt idx="9">
                  <c:v>47.45978029657298</c:v>
                </c:pt>
                <c:pt idx="10">
                  <c:v>41.413510260210529</c:v>
                </c:pt>
                <c:pt idx="11">
                  <c:v>64.905209922081241</c:v>
                </c:pt>
                <c:pt idx="12">
                  <c:v>26.220620447158325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21C-405D-8BFB-00F96E2B6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1514368"/>
        <c:axId val="531520600"/>
      </c:scatterChart>
      <c:valAx>
        <c:axId val="531514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520600"/>
        <c:crosses val="autoZero"/>
        <c:crossBetween val="midCat"/>
      </c:valAx>
      <c:valAx>
        <c:axId val="531520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514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38100</xdr:colOff>
      <xdr:row>6</xdr:row>
      <xdr:rowOff>109537</xdr:rowOff>
    </xdr:from>
    <xdr:to>
      <xdr:col>19</xdr:col>
      <xdr:colOff>342900</xdr:colOff>
      <xdr:row>20</xdr:row>
      <xdr:rowOff>185737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C3C3A17-4774-4952-AEAD-83F29C582E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4AF1D-2BF1-410B-94B5-35D2BEE2C395}">
  <dimension ref="A1:K20"/>
  <sheetViews>
    <sheetView tabSelected="1" topLeftCell="M1" workbookViewId="0">
      <selection activeCell="E20" sqref="E20"/>
    </sheetView>
  </sheetViews>
  <sheetFormatPr defaultRowHeight="15" x14ac:dyDescent="0.25"/>
  <cols>
    <col min="8" max="8" width="12" bestFit="1" customWidth="1"/>
    <col min="9" max="9" width="13.7109375" customWidth="1"/>
    <col min="10" max="10" width="14.5703125" customWidth="1"/>
    <col min="11" max="11" width="12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  <c r="I1" t="s">
        <v>11</v>
      </c>
      <c r="J1" t="s">
        <v>12</v>
      </c>
      <c r="K1" t="s">
        <v>13</v>
      </c>
    </row>
    <row r="2" spans="1:11" x14ac:dyDescent="0.25">
      <c r="A2">
        <v>0</v>
      </c>
      <c r="B2">
        <f>1-A2</f>
        <v>1</v>
      </c>
      <c r="C2">
        <v>0</v>
      </c>
      <c r="D2">
        <f>1-C2</f>
        <v>1</v>
      </c>
      <c r="E2">
        <f>10^(6.95465-(1170.97/(226.232+25)))/7.5006</f>
        <v>26.220620447158325</v>
      </c>
      <c r="F2">
        <f>10^(7.43155-(1554.679/(240.337+25)))/7.5006</f>
        <v>4.9795718058573808</v>
      </c>
      <c r="G2">
        <v>15.79</v>
      </c>
      <c r="H2">
        <f>EXP((B2^2)*($C$20+(2*($D$20-$C$20-$E$20)*A2) + 3*$E$20*(A2^2)))</f>
        <v>51.65103669060381</v>
      </c>
      <c r="I2">
        <f>EXP((A2^2)*($D$20+(2*($C$20-$D$20-$E$20)*B2) + 3*$E$20*(B2^2)))</f>
        <v>1</v>
      </c>
      <c r="J2">
        <f>(A2*H2*E2)+(B2*I2*F2)</f>
        <v>4.9795718058573808</v>
      </c>
      <c r="K2">
        <f>(G2-J2)^2</f>
        <v>116.86535774071363</v>
      </c>
    </row>
    <row r="3" spans="1:11" x14ac:dyDescent="0.25">
      <c r="A3">
        <v>9.3200000000000005E-2</v>
      </c>
      <c r="B3">
        <f t="shared" ref="B3:B14" si="0">1-A3</f>
        <v>0.90680000000000005</v>
      </c>
      <c r="C3">
        <v>0.1794</v>
      </c>
      <c r="D3">
        <f t="shared" ref="D3:D14" si="1">1-C3</f>
        <v>0.8206</v>
      </c>
      <c r="E3">
        <f t="shared" ref="E3:E14" si="2">10^(6.95465-(1170.97/(226.232+25)))/7.5006</f>
        <v>26.220620447158325</v>
      </c>
      <c r="F3">
        <f t="shared" ref="F3:F14" si="3">10^(7.43155-(1554.679/(240.337+25)))/7.5006</f>
        <v>4.9795718058573808</v>
      </c>
      <c r="G3">
        <v>17.510000000000002</v>
      </c>
      <c r="H3">
        <f t="shared" ref="H3:H14" si="4">EXP((B3^2)*($C$20+(2*($D$20-$C$20-$E$20)*A3) + 3*$E$20*(A3^2)))</f>
        <v>6.9107499956963476</v>
      </c>
      <c r="I3">
        <f t="shared" ref="I3:I14" si="5">EXP((A3^2)*($D$20+(2*($C$20-$D$20-$E$20)*B3) + 3*$E$20*(B3^2)))</f>
        <v>1.0930947134850952</v>
      </c>
      <c r="J3">
        <f t="shared" ref="J3:J14" si="6">(A3*H3*E3)+(B3*I3*F3)</f>
        <v>21.824069657620939</v>
      </c>
      <c r="K3">
        <f t="shared" ref="K3:K14" si="7">(G3-J3)^2</f>
        <v>18.611197010805629</v>
      </c>
    </row>
    <row r="4" spans="1:11" x14ac:dyDescent="0.25">
      <c r="A4">
        <v>0.12479999999999999</v>
      </c>
      <c r="B4">
        <f t="shared" si="0"/>
        <v>0.87519999999999998</v>
      </c>
      <c r="C4">
        <v>0.23830000000000001</v>
      </c>
      <c r="D4">
        <f t="shared" si="1"/>
        <v>0.76170000000000004</v>
      </c>
      <c r="E4">
        <f t="shared" si="2"/>
        <v>26.220620447158325</v>
      </c>
      <c r="F4">
        <f t="shared" si="3"/>
        <v>4.9795718058573808</v>
      </c>
      <c r="G4">
        <v>18.149999999999999</v>
      </c>
      <c r="H4">
        <f t="shared" si="4"/>
        <v>4.5439090111086413</v>
      </c>
      <c r="I4">
        <f t="shared" si="5"/>
        <v>1.150251404508533</v>
      </c>
      <c r="J4">
        <f t="shared" si="6"/>
        <v>19.882120450621368</v>
      </c>
      <c r="K4">
        <f t="shared" si="7"/>
        <v>3.0002412554607765</v>
      </c>
    </row>
    <row r="5" spans="1:11" x14ac:dyDescent="0.25">
      <c r="A5">
        <v>0.1757</v>
      </c>
      <c r="B5">
        <f t="shared" si="0"/>
        <v>0.82430000000000003</v>
      </c>
      <c r="C5">
        <v>0.33019999999999999</v>
      </c>
      <c r="D5">
        <f t="shared" si="1"/>
        <v>0.66979999999999995</v>
      </c>
      <c r="E5">
        <f t="shared" si="2"/>
        <v>26.220620447158325</v>
      </c>
      <c r="F5">
        <f t="shared" si="3"/>
        <v>4.9795718058573808</v>
      </c>
      <c r="G5">
        <v>19.3</v>
      </c>
      <c r="H5">
        <f t="shared" si="4"/>
        <v>2.8656937695148872</v>
      </c>
      <c r="I5">
        <f t="shared" si="5"/>
        <v>1.2463755895765707</v>
      </c>
      <c r="J5">
        <f t="shared" si="6"/>
        <v>18.318094524698953</v>
      </c>
      <c r="K5">
        <f t="shared" si="7"/>
        <v>0.96413836242617634</v>
      </c>
    </row>
    <row r="6" spans="1:11" x14ac:dyDescent="0.25">
      <c r="A6">
        <v>0.2</v>
      </c>
      <c r="B6">
        <f t="shared" si="0"/>
        <v>0.8</v>
      </c>
      <c r="C6">
        <v>0.36909999999999998</v>
      </c>
      <c r="D6">
        <f t="shared" si="1"/>
        <v>0.63090000000000002</v>
      </c>
      <c r="E6">
        <f t="shared" si="2"/>
        <v>26.220620447158325</v>
      </c>
      <c r="F6">
        <f t="shared" si="3"/>
        <v>4.9795718058573808</v>
      </c>
      <c r="G6">
        <v>19.89</v>
      </c>
      <c r="H6">
        <f t="shared" si="4"/>
        <v>2.4853099432931698</v>
      </c>
      <c r="I6">
        <f t="shared" si="5"/>
        <v>1.2879557974164972</v>
      </c>
      <c r="J6">
        <f t="shared" si="6"/>
        <v>18.164048444132359</v>
      </c>
      <c r="K6">
        <f t="shared" si="7"/>
        <v>2.9789087732019337</v>
      </c>
    </row>
    <row r="7" spans="1:11" x14ac:dyDescent="0.25">
      <c r="A7">
        <v>0.2626</v>
      </c>
      <c r="B7">
        <f t="shared" si="0"/>
        <v>0.73740000000000006</v>
      </c>
      <c r="C7">
        <v>0.46279999999999999</v>
      </c>
      <c r="D7">
        <f t="shared" si="1"/>
        <v>0.53720000000000001</v>
      </c>
      <c r="E7">
        <f t="shared" si="2"/>
        <v>26.220620447158325</v>
      </c>
      <c r="F7">
        <f t="shared" si="3"/>
        <v>4.9795718058573808</v>
      </c>
      <c r="G7">
        <v>21.37</v>
      </c>
      <c r="H7">
        <f t="shared" si="4"/>
        <v>2.0544009197830664</v>
      </c>
      <c r="I7">
        <f t="shared" si="5"/>
        <v>1.3613912529826757</v>
      </c>
      <c r="J7">
        <f t="shared" si="6"/>
        <v>19.144591183975496</v>
      </c>
      <c r="K7">
        <f t="shared" si="7"/>
        <v>4.9524443984395878</v>
      </c>
    </row>
    <row r="8" spans="1:11" x14ac:dyDescent="0.25">
      <c r="A8">
        <v>0.36149999999999999</v>
      </c>
      <c r="B8">
        <f t="shared" si="0"/>
        <v>0.63850000000000007</v>
      </c>
      <c r="C8">
        <v>0.61839999999999995</v>
      </c>
      <c r="D8">
        <f t="shared" si="1"/>
        <v>0.38160000000000005</v>
      </c>
      <c r="E8">
        <f t="shared" si="2"/>
        <v>26.220620447158325</v>
      </c>
      <c r="F8">
        <f t="shared" si="3"/>
        <v>4.9795718058573808</v>
      </c>
      <c r="G8">
        <v>24.95</v>
      </c>
      <c r="H8">
        <f t="shared" si="4"/>
        <v>2.1172801956537981</v>
      </c>
      <c r="I8">
        <f t="shared" si="5"/>
        <v>1.3362791297829464</v>
      </c>
      <c r="J8">
        <f t="shared" si="6"/>
        <v>24.31782023718565</v>
      </c>
      <c r="K8">
        <f t="shared" si="7"/>
        <v>0.39965125251200695</v>
      </c>
    </row>
    <row r="9" spans="1:11" x14ac:dyDescent="0.25">
      <c r="A9">
        <v>0.47499999999999998</v>
      </c>
      <c r="B9">
        <f t="shared" si="0"/>
        <v>0.52500000000000002</v>
      </c>
      <c r="C9">
        <v>0.75519999999999998</v>
      </c>
      <c r="D9">
        <f t="shared" si="1"/>
        <v>0.24480000000000002</v>
      </c>
      <c r="E9">
        <f t="shared" si="2"/>
        <v>26.220620447158325</v>
      </c>
      <c r="F9">
        <f t="shared" si="3"/>
        <v>4.9795718058573808</v>
      </c>
      <c r="G9">
        <v>29.82</v>
      </c>
      <c r="H9">
        <f t="shared" si="4"/>
        <v>2.5847614062151227</v>
      </c>
      <c r="I9">
        <f t="shared" si="5"/>
        <v>1.1561572594036627</v>
      </c>
      <c r="J9">
        <f t="shared" si="6"/>
        <v>35.215185943277731</v>
      </c>
      <c r="K9">
        <f t="shared" si="7"/>
        <v>29.10803136254162</v>
      </c>
    </row>
    <row r="10" spans="1:11" x14ac:dyDescent="0.25">
      <c r="A10">
        <v>0.55549999999999999</v>
      </c>
      <c r="B10">
        <f t="shared" si="0"/>
        <v>0.44450000000000001</v>
      </c>
      <c r="C10">
        <v>0.83779999999999999</v>
      </c>
      <c r="D10">
        <f t="shared" si="1"/>
        <v>0.16220000000000001</v>
      </c>
      <c r="E10">
        <f t="shared" si="2"/>
        <v>26.220620447158325</v>
      </c>
      <c r="F10">
        <f t="shared" si="3"/>
        <v>4.9795718058573808</v>
      </c>
      <c r="G10">
        <v>34.799999999999997</v>
      </c>
      <c r="H10">
        <f t="shared" si="4"/>
        <v>2.8162565480752932</v>
      </c>
      <c r="I10">
        <f t="shared" si="5"/>
        <v>1.0578877378183915</v>
      </c>
      <c r="J10">
        <f t="shared" si="6"/>
        <v>43.361888208167294</v>
      </c>
      <c r="K10">
        <f t="shared" si="7"/>
        <v>73.305929689154198</v>
      </c>
    </row>
    <row r="11" spans="1:11" x14ac:dyDescent="0.25">
      <c r="A11">
        <v>0.67179999999999995</v>
      </c>
      <c r="B11">
        <f t="shared" si="0"/>
        <v>0.32820000000000005</v>
      </c>
      <c r="C11">
        <v>0.91369999999999996</v>
      </c>
      <c r="D11">
        <f t="shared" si="1"/>
        <v>8.6300000000000043E-2</v>
      </c>
      <c r="E11">
        <f t="shared" si="2"/>
        <v>26.220620447158325</v>
      </c>
      <c r="F11">
        <f t="shared" si="3"/>
        <v>4.9795718058573808</v>
      </c>
      <c r="G11">
        <v>42.1</v>
      </c>
      <c r="H11">
        <f t="shared" si="4"/>
        <v>2.579123346834276</v>
      </c>
      <c r="I11">
        <f t="shared" si="5"/>
        <v>1.2412011954766569</v>
      </c>
      <c r="J11">
        <f t="shared" si="6"/>
        <v>47.45978029657298</v>
      </c>
      <c r="K11">
        <f t="shared" si="7"/>
        <v>28.727244827531923</v>
      </c>
    </row>
    <row r="12" spans="1:11" x14ac:dyDescent="0.25">
      <c r="A12">
        <v>0.878</v>
      </c>
      <c r="B12">
        <f t="shared" si="0"/>
        <v>0.122</v>
      </c>
      <c r="C12">
        <v>0.98599999999999999</v>
      </c>
      <c r="D12">
        <f t="shared" si="1"/>
        <v>1.4000000000000012E-2</v>
      </c>
      <c r="E12">
        <f t="shared" si="2"/>
        <v>26.220620447158325</v>
      </c>
      <c r="F12">
        <f t="shared" si="3"/>
        <v>4.9795718058573808</v>
      </c>
      <c r="G12">
        <v>60.38</v>
      </c>
      <c r="H12">
        <f t="shared" si="4"/>
        <v>1.305188201569311</v>
      </c>
      <c r="I12">
        <f t="shared" si="5"/>
        <v>18.708983785182404</v>
      </c>
      <c r="J12">
        <f t="shared" si="6"/>
        <v>41.413510260210529</v>
      </c>
      <c r="K12">
        <f t="shared" si="7"/>
        <v>359.72773304953938</v>
      </c>
    </row>
    <row r="13" spans="1:11" x14ac:dyDescent="0.25">
      <c r="A13">
        <v>0.93979999999999997</v>
      </c>
      <c r="B13">
        <f t="shared" si="0"/>
        <v>6.0200000000000031E-2</v>
      </c>
      <c r="C13">
        <v>0.99450000000000005</v>
      </c>
      <c r="D13">
        <f t="shared" si="1"/>
        <v>5.4999999999999494E-3</v>
      </c>
      <c r="E13">
        <f t="shared" si="2"/>
        <v>26.220620447158325</v>
      </c>
      <c r="F13">
        <f t="shared" si="3"/>
        <v>4.9795718058573808</v>
      </c>
      <c r="G13">
        <v>65.39</v>
      </c>
      <c r="H13">
        <f t="shared" si="4"/>
        <v>1.0803203857231849</v>
      </c>
      <c r="I13">
        <f t="shared" si="5"/>
        <v>127.71049893534514</v>
      </c>
      <c r="J13">
        <f t="shared" si="6"/>
        <v>64.905209922081241</v>
      </c>
      <c r="K13">
        <f t="shared" si="7"/>
        <v>0.23502141964847711</v>
      </c>
    </row>
    <row r="14" spans="1:11" x14ac:dyDescent="0.25">
      <c r="A14">
        <v>1</v>
      </c>
      <c r="B14">
        <f t="shared" si="0"/>
        <v>0</v>
      </c>
      <c r="C14">
        <v>1</v>
      </c>
      <c r="D14">
        <f t="shared" si="1"/>
        <v>0</v>
      </c>
      <c r="E14">
        <f t="shared" si="2"/>
        <v>26.220620447158325</v>
      </c>
      <c r="F14">
        <f t="shared" si="3"/>
        <v>4.9795718058573808</v>
      </c>
      <c r="G14">
        <v>69.36</v>
      </c>
      <c r="H14">
        <f t="shared" si="4"/>
        <v>1</v>
      </c>
      <c r="I14">
        <f t="shared" si="5"/>
        <v>1715.2996983306116</v>
      </c>
      <c r="J14">
        <f t="shared" si="6"/>
        <v>26.220620447158325</v>
      </c>
      <c r="K14">
        <f t="shared" si="7"/>
        <v>1861.0060682041344</v>
      </c>
    </row>
    <row r="15" spans="1:11" x14ac:dyDescent="0.25">
      <c r="K15">
        <f>SUM(K2:K14)</f>
        <v>2499.8819673461098</v>
      </c>
    </row>
    <row r="19" spans="3:5" x14ac:dyDescent="0.25">
      <c r="C19" t="s">
        <v>7</v>
      </c>
      <c r="D19" t="s">
        <v>8</v>
      </c>
      <c r="E19" t="s">
        <v>9</v>
      </c>
    </row>
    <row r="20" spans="3:5" x14ac:dyDescent="0.25">
      <c r="C20">
        <v>3.9445102668183099</v>
      </c>
      <c r="D20">
        <v>7.4473430955460103</v>
      </c>
      <c r="E20">
        <v>14.0112410573422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2019-11-16T05:31:12Z</dcterms:created>
  <dcterms:modified xsi:type="dcterms:W3CDTF">2019-11-16T07:01:00Z</dcterms:modified>
</cp:coreProperties>
</file>